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 Table" sheetId="1" state="visible" r:id="rId3"/>
    <sheet name="Status Summary" sheetId="2" state="visible" r:id="rId4"/>
    <sheet name="Timeline" sheetId="3" state="visible" r:id="rId5"/>
    <sheet name="Contribu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<sst xmlns="http://schemas.openxmlformats.org/spreadsheetml/2006/main" count="262" uniqueCount="167">
  <si>
    <t xml:space="preserve">Task Table: Solar Panel and Battery System</t>
  </si>
  <si>
    <t xml:space="preserve">Status values: Not started, Stub, In progress, Done. Project Leader (Iteration 2): Jailen Patel. </t>
  </si>
  <si>
    <t xml:space="preserve">ID</t>
  </si>
  <si>
    <t xml:space="preserve">Task</t>
  </si>
  <si>
    <t xml:space="preserve">Menu Option</t>
  </si>
  <si>
    <t xml:space="preserve">Owner</t>
  </si>
  <si>
    <t xml:space="preserve">Files</t>
  </si>
  <si>
    <t xml:space="preserve">Functions</t>
  </si>
  <si>
    <t xml:space="preserve">Expected Deliverable</t>
  </si>
  <si>
    <t xml:space="preserve">Status</t>
  </si>
  <si>
    <t xml:space="preserve">Target Iteration</t>
  </si>
  <si>
    <t xml:space="preserve">Notes</t>
  </si>
  <si>
    <t xml:space="preserve">T1</t>
  </si>
  <si>
    <t xml:space="preserve">Load sunlight data</t>
  </si>
  <si>
    <t xml:space="preserve">1</t>
  </si>
  <si>
    <t xml:space="preserve">Advaith Nair</t>
  </si>
  <si>
    <t xml:space="preserve">input_reader.h/.cpp, tasks.cpp, solar_panel.cpp</t>
  </si>
  <si>
    <t xml:space="preserve">readHourlyCsv(), taskLoadSunlight(), SolarPanel::setSunlight()</t>
  </si>
  <si>
    <t xml:space="preserve">Reads and checks a sunlight CSV file</t>
  </si>
  <si>
    <t xml:space="preserve">In progress</t>
  </si>
  <si>
    <t xml:space="preserve">3</t>
  </si>
  <si>
    <t xml:space="preserve">Reads values and checks that the file opens; other input checks not written yet</t>
  </si>
  <si>
    <t xml:space="preserve">T2</t>
  </si>
  <si>
    <t xml:space="preserve">Load demand data</t>
  </si>
  <si>
    <t xml:space="preserve">2</t>
  </si>
  <si>
    <t xml:space="preserve">input_reader.h/.cpp, tasks.cpp, load_profile.cpp</t>
  </si>
  <si>
    <t xml:space="preserve">readHourlyCsv(), taskLoadDemand(), LoadProfile::setDemand()</t>
  </si>
  <si>
    <t xml:space="preserve">Reads and checks a demand CSV file</t>
  </si>
  <si>
    <t xml:space="preserve">Stub</t>
  </si>
  <si>
    <t xml:space="preserve">Moved from Teammate 3</t>
  </si>
  <si>
    <t xml:space="preserve">T3</t>
  </si>
  <si>
    <t xml:space="preserve">Set up solar panel</t>
  </si>
  <si>
    <t xml:space="preserve">solar_panel.h/.cpp, tasks.cpp</t>
  </si>
  <si>
    <t xml:space="preserve">setSize(), energyAt(), totalEnergy(), taskSetupPanel()</t>
  </si>
  <si>
    <t xml:space="preserve">Sets panel size and efficiency, prints hourly output</t>
  </si>
  <si>
    <t xml:space="preserve">Prompts and energyAt() written; hourly table and total not yet</t>
  </si>
  <si>
    <t xml:space="preserve">T4</t>
  </si>
  <si>
    <t xml:space="preserve">Set up battery</t>
  </si>
  <si>
    <t xml:space="preserve">4</t>
  </si>
  <si>
    <t xml:space="preserve">Jailen Patel</t>
  </si>
  <si>
    <t xml:space="preserve">battery.h/.cpp, tasks.cpp</t>
  </si>
  <si>
    <t xml:space="preserve">setLimits(), charge(), discharge(), taskSetupBattery()</t>
  </si>
  <si>
    <t xml:space="preserve">Sets capacity, minimum charge, and rate limit</t>
  </si>
  <si>
    <t xml:space="preserve">setLimits() written; charge() and discharge() are stubs</t>
  </si>
  <si>
    <t xml:space="preserve">T5</t>
  </si>
  <si>
    <t xml:space="preserve">Run 24-hour simulation</t>
  </si>
  <si>
    <t xml:space="preserve">5</t>
  </si>
  <si>
    <t xml:space="preserve">Both</t>
  </si>
  <si>
    <t xml:space="preserve">energy_manager.h/.cpp, tasks.cpp</t>
  </si>
  <si>
    <t xml:space="preserve">runSimulation(), checkBalance(), taskRun24Hour()</t>
  </si>
  <si>
    <t xml:space="preserve">Hour-by-hour routing for one day</t>
  </si>
  <si>
    <t xml:space="preserve">Written together in Phase 3</t>
  </si>
  <si>
    <t xml:space="preserve">T6</t>
  </si>
  <si>
    <t xml:space="preserve">Run 7-day simulation</t>
  </si>
  <si>
    <t xml:space="preserve">6</t>
  </si>
  <si>
    <t xml:space="preserve">runSimulation(), taskRun7Day()</t>
  </si>
  <si>
    <t xml:space="preserve">Same routing over 168 hours</t>
  </si>
  <si>
    <t xml:space="preserve">Needs 7-day sample file (S2)</t>
  </si>
  <si>
    <t xml:space="preserve">T7</t>
  </si>
  <si>
    <t xml:space="preserve">Print summary</t>
  </si>
  <si>
    <t xml:space="preserve">7</t>
  </si>
  <si>
    <t xml:space="preserve">report.h/.cpp, tasks.cpp</t>
  </si>
  <si>
    <t xml:space="preserve">Report::printSummary(), taskPrintSummary()</t>
  </si>
  <si>
    <t xml:space="preserve">Totals and share of demand met by solar, battery, and grid</t>
  </si>
  <si>
    <t xml:space="preserve">T8</t>
  </si>
  <si>
    <t xml:space="preserve">Save hourly results</t>
  </si>
  <si>
    <t xml:space="preserve">8</t>
  </si>
  <si>
    <t xml:space="preserve">Report::writeHourlyCsv(), taskSaveResults()</t>
  </si>
  <si>
    <t xml:space="preserve">Hourly output CSV that opens in Excel</t>
  </si>
  <si>
    <t xml:space="preserve">T9</t>
  </si>
  <si>
    <t xml:space="preserve">Compare two battery sizes</t>
  </si>
  <si>
    <t xml:space="preserve">9</t>
  </si>
  <si>
    <t xml:space="preserve">energy_manager.h/.cpp, report.h/.cpp, tasks.cpp</t>
  </si>
  <si>
    <t xml:space="preserve">runSimulation(), printSummary(), taskCompareBatteries()</t>
  </si>
  <si>
    <t xml:space="preserve">Side-by-side summary for two capacities</t>
  </si>
  <si>
    <t xml:space="preserve">T10</t>
  </si>
  <si>
    <t xml:space="preserve">Run class tests</t>
  </si>
  <si>
    <t xml:space="preserve">10</t>
  </si>
  <si>
    <t xml:space="preserve">tests.cpp</t>
  </si>
  <si>
    <t xml:space="preserve">taskRunTests()</t>
  </si>
  <si>
    <t xml:space="preserve">At least 3 passing tests per class</t>
  </si>
  <si>
    <t xml:space="preserve">Still deciding between menu option and separate test program</t>
  </si>
  <si>
    <t xml:space="preserve">S1</t>
  </si>
  <si>
    <t xml:space="preserve">Menu and switch</t>
  </si>
  <si>
    <t xml:space="preserve">none</t>
  </si>
  <si>
    <t xml:space="preserve">main.cpp</t>
  </si>
  <si>
    <t xml:space="preserve">main(), printMenu()</t>
  </si>
  <si>
    <t xml:space="preserve">Menu loop with one task per option</t>
  </si>
  <si>
    <t xml:space="preserve">Done</t>
  </si>
  <si>
    <t xml:space="preserve">S2</t>
  </si>
  <si>
    <t xml:space="preserve">Sample input files</t>
  </si>
  <si>
    <t xml:space="preserve">data/*.csv</t>
  </si>
  <si>
    <t xml:space="preserve">Sunny, cloudy, and 7-day input files</t>
  </si>
  <si>
    <t xml:space="preserve">First sunny, cloudy, and demand files made; 7-day file not started</t>
  </si>
  <si>
    <t xml:space="preserve">S3</t>
  </si>
  <si>
    <t xml:space="preserve">Task table and project plan</t>
  </si>
  <si>
    <t xml:space="preserve">docs/EECE2140_Project_Plan.xlsx</t>
  </si>
  <si>
    <t xml:space="preserve">Updated plan each iteration</t>
  </si>
  <si>
    <t xml:space="preserve">All</t>
  </si>
  <si>
    <t xml:space="preserve">First version; we expect to keep changing it</t>
  </si>
  <si>
    <t xml:space="preserve">S4</t>
  </si>
  <si>
    <t xml:space="preserve">README and iteration report</t>
  </si>
  <si>
    <t xml:space="preserve">README.md, docs/</t>
  </si>
  <si>
    <t xml:space="preserve">Build and run steps, iteration PDF</t>
  </si>
  <si>
    <t xml:space="preserve">S5</t>
  </si>
  <si>
    <t xml:space="preserve">Integration and code review</t>
  </si>
  <si>
    <t xml:space="preserve">GitHub repository</t>
  </si>
  <si>
    <t xml:space="preserve">One working build each iteration</t>
  </si>
  <si>
    <t xml:space="preserve">Still learning how to review and merge with branches</t>
  </si>
  <si>
    <t xml:space="preserve">S6</t>
  </si>
  <si>
    <t xml:space="preserve">GitHub Issues upkeep</t>
  </si>
  <si>
    <t xml:space="preserve">GitHub Issues</t>
  </si>
  <si>
    <t xml:space="preserve">Every task listed with an owner and due date</t>
  </si>
  <si>
    <t xml:space="preserve">S7</t>
  </si>
  <si>
    <t xml:space="preserve">Meeting notes</t>
  </si>
  <si>
    <t xml:space="preserve">docs/meeting_notes.md</t>
  </si>
  <si>
    <t xml:space="preserve">Notes from each weekly meeting</t>
  </si>
  <si>
    <t xml:space="preserve">Status Summary</t>
  </si>
  <si>
    <t xml:space="preserve">All counts are formulas that read the Task Table sheet.</t>
  </si>
  <si>
    <t xml:space="preserve">Menu Tasks (T)</t>
  </si>
  <si>
    <t xml:space="preserve">All Tasks</t>
  </si>
  <si>
    <t xml:space="preserve">Not started</t>
  </si>
  <si>
    <t xml:space="preserve">Total</t>
  </si>
  <si>
    <t xml:space="preserve">Percent done</t>
  </si>
  <si>
    <t xml:space="preserve">Tasks Owned</t>
  </si>
  <si>
    <t xml:space="preserve">Open</t>
  </si>
  <si>
    <t xml:space="preserve">Revised Timeline</t>
  </si>
  <si>
    <t xml:space="preserve">Phase</t>
  </si>
  <si>
    <t xml:space="preserve">Start</t>
  </si>
  <si>
    <t xml:space="preserve">End</t>
  </si>
  <si>
    <t xml:space="preserve">Days</t>
  </si>
  <si>
    <t xml:space="preserve">Work</t>
  </si>
  <si>
    <t xml:space="preserve">Change from Iteration 1</t>
  </si>
  <si>
    <t xml:space="preserve">Phase 1: Planning</t>
  </si>
  <si>
    <t xml:space="preserve">Project plan, repository, class names and header files</t>
  </si>
  <si>
    <t xml:space="preserve">Start date approximate</t>
  </si>
  <si>
    <t xml:space="preserve">Phase 2: Design and individual classes</t>
  </si>
  <si>
    <t xml:space="preserve">System design, menu with stubs, SolarPanel, Battery, LoadProfile, input reader, first tests, sample files</t>
  </si>
  <si>
    <t xml:space="preserve">Advaith: SolarPanel, input reader, LoadProfile, samples; Jailen: Battery, tests, Report stubs</t>
  </si>
  <si>
    <t xml:space="preserve">Now includes system design and menu. LoadProfile and Report stubs moved here after Teammate 3 left. Dates are estimates since this is our first group project.</t>
  </si>
  <si>
    <t xml:space="preserve">Phase 3: Putting it together</t>
  </si>
  <si>
    <t xml:space="preserve">EnergyManager routing, Report class, energy balance and battery limit tests, first full 24-hour run</t>
  </si>
  <si>
    <t xml:space="preserve">Report class now owned by Jailen</t>
  </si>
  <si>
    <t xml:space="preserve">Buffer and rework</t>
  </si>
  <si>
    <t xml:space="preserve">Bug fixes, catch-up, Thanksgiving break (Nov 26)</t>
  </si>
  <si>
    <t xml:space="preserve">No change</t>
  </si>
  <si>
    <t xml:space="preserve">Phase 4: Finishing</t>
  </si>
  <si>
    <t xml:space="preserve">7-day run, battery size comparison, invalid input tests, final README, report, charts, presentation</t>
  </si>
  <si>
    <t xml:space="preserve">Milestone: Final presentation and demo</t>
  </si>
  <si>
    <t xml:space="preserve">Tuesday, December 8, 10:18 A.M.</t>
  </si>
  <si>
    <t xml:space="preserve">Member Contributions</t>
  </si>
  <si>
    <t xml:space="preserve">Iteration</t>
  </si>
  <si>
    <t xml:space="preserve">Team Member</t>
  </si>
  <si>
    <t xml:space="preserve">Role</t>
  </si>
  <si>
    <t xml:space="preserve">Completed This Iteration</t>
  </si>
  <si>
    <t xml:space="preserve">Responsibilities Next Iteration</t>
  </si>
  <si>
    <t xml:space="preserve">Repository and integration</t>
  </si>
  <si>
    <t xml:space="preserve">Proposed the hourly simulation idea and energy routing order; created the GitHub repository; wrote the SolarPanel and LoadProfile header files; found example solar and demand data; set up GitHub Issues; drafted the scope and tools sections</t>
  </si>
  <si>
    <t xml:space="preserve">Write the SolarPanel class; write the input file reader; write the LoadProfile class; create sample input files; review Jailen's code</t>
  </si>
  <si>
    <t xml:space="preserve">Testing and documentation</t>
  </si>
  <si>
    <t xml:space="preserve">Looked up typical home battery values; wrote the Battery and Report header files; proposed the team objectives and testing approach; drafted the objectives section; drafted the timeline and meeting notes; put together the PDF</t>
  </si>
  <si>
    <t xml:space="preserve">Write the Battery class; start the test program; write the next iteration document; review Advaith's code</t>
  </si>
  <si>
    <t xml:space="preserve">Built the menu and switch statement; wrote the stub for every task; started the CSV reader (T1) and the SolarPanel class (T3); made the first sample input files; drafted the class and file structure design; kept GitHub Issues up to date</t>
  </si>
  <si>
    <t xml:space="preserve">Finish the CSV reader and its input checks (T1, T2); finish the SolarPanel and LoadProfile classes (T3); create the 7-day sample file; start EnergyManager with Jailen (T5, T6, T9); review Jailen's code</t>
  </si>
  <si>
    <t xml:space="preserve">Project Leader, testing, documentation</t>
  </si>
  <si>
    <t xml:space="preserve">Served as Project Leader for the first time; started the Battery class (T4); wrote the Report class interface (T7, T8); made the first version of the task table and this plan; drew the class diagram; put together the Iteration 2 report; kept the meeting notes</t>
  </si>
  <si>
    <t xml:space="preserve">Finish charge() and discharge() (T4); decide on a testing approach and write the first tests (T10); start the Report class (T7, T8); start EnergyManager with Advaith (T5, T6, T9); update the README and meeting notes; review Advaith's code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</si>
</sst>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mmm\ d&quot;, &quot;yy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Times New Roman"/>
      <family val="0"/>
      <charset val="1"/>
    </font>
    <font>
      <sz val="11"/>
      <name val="Times New Roman"/>
      <family val="0"/>
      <charset val="1"/>
    </font>
    <font>
      <b val="true"/>
      <sz val="11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9"/>
    <col collapsed="false" customWidth="true" hidden="false" outlineLevel="0" max="4" min="4" style="0" width="14"/>
    <col collapsed="false" customWidth="true" hidden="false" outlineLevel="0" max="5" min="5" style="0" width="32"/>
    <col collapsed="false" customWidth="true" hidden="false" outlineLevel="0" max="6" min="6" style="0" width="38"/>
    <col collapsed="false" customWidth="true" hidden="false" outlineLevel="0" max="7" min="7" style="0" width="32"/>
    <col collapsed="false" customWidth="true" hidden="false" outlineLevel="0" max="8" min="8" style="0" width="13"/>
    <col collapsed="false" customWidth="true" hidden="false" outlineLevel="0" max="9" min="9" style="0" width="10"/>
    <col collapsed="false" customWidth="true" hidden="false" outlineLevel="0" max="10" min="10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25.3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customFormat="false" ht="25.35" hidden="false" customHeight="false" outlineLevel="0" collapsed="false">
      <c r="A4" s="4" t="s">
        <v>12</v>
      </c>
      <c r="B4" s="4" t="s">
        <v>13</v>
      </c>
      <c r="C4" s="5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4" t="s">
        <v>19</v>
      </c>
      <c r="I4" s="5" t="s">
        <v>20</v>
      </c>
      <c r="J4" s="4" t="s">
        <v>21</v>
      </c>
    </row>
    <row r="5" customFormat="false" ht="25.35" hidden="false" customHeight="false" outlineLevel="0" collapsed="false">
      <c r="A5" s="4" t="s">
        <v>22</v>
      </c>
      <c r="B5" s="4" t="s">
        <v>23</v>
      </c>
      <c r="C5" s="5" t="s">
        <v>24</v>
      </c>
      <c r="D5" s="4" t="s">
        <v>15</v>
      </c>
      <c r="E5" s="4" t="s">
        <v>25</v>
      </c>
      <c r="F5" s="4" t="s">
        <v>26</v>
      </c>
      <c r="G5" s="4" t="s">
        <v>27</v>
      </c>
      <c r="H5" s="4" t="s">
        <v>28</v>
      </c>
      <c r="I5" s="5" t="s">
        <v>20</v>
      </c>
      <c r="J5" s="4" t="s">
        <v>29</v>
      </c>
    </row>
    <row r="6" customFormat="false" ht="25.35" hidden="false" customHeight="false" outlineLevel="0" collapsed="false">
      <c r="A6" s="4" t="s">
        <v>30</v>
      </c>
      <c r="B6" s="4" t="s">
        <v>31</v>
      </c>
      <c r="C6" s="5" t="s">
        <v>20</v>
      </c>
      <c r="D6" s="4" t="s">
        <v>15</v>
      </c>
      <c r="E6" s="4" t="s">
        <v>32</v>
      </c>
      <c r="F6" s="4" t="s">
        <v>33</v>
      </c>
      <c r="G6" s="4" t="s">
        <v>34</v>
      </c>
      <c r="H6" s="4" t="s">
        <v>19</v>
      </c>
      <c r="I6" s="5" t="s">
        <v>20</v>
      </c>
      <c r="J6" s="4" t="s">
        <v>35</v>
      </c>
    </row>
    <row r="7" customFormat="false" ht="25.35" hidden="false" customHeight="false" outlineLevel="0" collapsed="false">
      <c r="A7" s="4" t="s">
        <v>36</v>
      </c>
      <c r="B7" s="4" t="s">
        <v>37</v>
      </c>
      <c r="C7" s="5" t="s">
        <v>38</v>
      </c>
      <c r="D7" s="4" t="s">
        <v>39</v>
      </c>
      <c r="E7" s="4" t="s">
        <v>40</v>
      </c>
      <c r="F7" s="4" t="s">
        <v>41</v>
      </c>
      <c r="G7" s="4" t="s">
        <v>42</v>
      </c>
      <c r="H7" s="4" t="s">
        <v>19</v>
      </c>
      <c r="I7" s="5" t="s">
        <v>20</v>
      </c>
      <c r="J7" s="4" t="s">
        <v>43</v>
      </c>
    </row>
    <row r="8" customFormat="false" ht="25.35" hidden="false" customHeight="false" outlineLevel="0" collapsed="false">
      <c r="A8" s="4" t="s">
        <v>44</v>
      </c>
      <c r="B8" s="4" t="s">
        <v>45</v>
      </c>
      <c r="C8" s="5" t="s">
        <v>46</v>
      </c>
      <c r="D8" s="4" t="s">
        <v>47</v>
      </c>
      <c r="E8" s="4" t="s">
        <v>48</v>
      </c>
      <c r="F8" s="4" t="s">
        <v>49</v>
      </c>
      <c r="G8" s="4" t="s">
        <v>50</v>
      </c>
      <c r="H8" s="4" t="s">
        <v>28</v>
      </c>
      <c r="I8" s="5" t="s">
        <v>20</v>
      </c>
      <c r="J8" s="4" t="s">
        <v>51</v>
      </c>
    </row>
    <row r="9" customFormat="false" ht="15" hidden="false" customHeight="false" outlineLevel="0" collapsed="false">
      <c r="A9" s="4" t="s">
        <v>52</v>
      </c>
      <c r="B9" s="4" t="s">
        <v>53</v>
      </c>
      <c r="C9" s="5" t="s">
        <v>54</v>
      </c>
      <c r="D9" s="4" t="s">
        <v>47</v>
      </c>
      <c r="E9" s="4" t="s">
        <v>48</v>
      </c>
      <c r="F9" s="4" t="s">
        <v>55</v>
      </c>
      <c r="G9" s="4" t="s">
        <v>56</v>
      </c>
      <c r="H9" s="4" t="s">
        <v>28</v>
      </c>
      <c r="I9" s="5" t="s">
        <v>20</v>
      </c>
      <c r="J9" s="4" t="s">
        <v>57</v>
      </c>
    </row>
    <row r="10" customFormat="false" ht="25.35" hidden="false" customHeight="false" outlineLevel="0" collapsed="false">
      <c r="A10" s="4" t="s">
        <v>58</v>
      </c>
      <c r="B10" s="4" t="s">
        <v>59</v>
      </c>
      <c r="C10" s="5" t="s">
        <v>60</v>
      </c>
      <c r="D10" s="4" t="s">
        <v>39</v>
      </c>
      <c r="E10" s="4" t="s">
        <v>61</v>
      </c>
      <c r="F10" s="4" t="s">
        <v>62</v>
      </c>
      <c r="G10" s="4" t="s">
        <v>63</v>
      </c>
      <c r="H10" s="4" t="s">
        <v>28</v>
      </c>
      <c r="I10" s="5" t="s">
        <v>20</v>
      </c>
      <c r="J10" s="4" t="s">
        <v>29</v>
      </c>
    </row>
    <row r="11" customFormat="false" ht="25.35" hidden="false" customHeight="false" outlineLevel="0" collapsed="false">
      <c r="A11" s="4" t="s">
        <v>64</v>
      </c>
      <c r="B11" s="4" t="s">
        <v>65</v>
      </c>
      <c r="C11" s="5" t="s">
        <v>66</v>
      </c>
      <c r="D11" s="4" t="s">
        <v>39</v>
      </c>
      <c r="E11" s="4" t="s">
        <v>61</v>
      </c>
      <c r="F11" s="4" t="s">
        <v>67</v>
      </c>
      <c r="G11" s="4" t="s">
        <v>68</v>
      </c>
      <c r="H11" s="4" t="s">
        <v>28</v>
      </c>
      <c r="I11" s="5" t="s">
        <v>20</v>
      </c>
      <c r="J11" s="4" t="s">
        <v>29</v>
      </c>
    </row>
    <row r="12" customFormat="false" ht="25.35" hidden="false" customHeight="false" outlineLevel="0" collapsed="false">
      <c r="A12" s="4" t="s">
        <v>69</v>
      </c>
      <c r="B12" s="4" t="s">
        <v>70</v>
      </c>
      <c r="C12" s="5" t="s">
        <v>71</v>
      </c>
      <c r="D12" s="4" t="s">
        <v>47</v>
      </c>
      <c r="E12" s="4" t="s">
        <v>72</v>
      </c>
      <c r="F12" s="4" t="s">
        <v>73</v>
      </c>
      <c r="G12" s="4" t="s">
        <v>74</v>
      </c>
      <c r="H12" s="4" t="s">
        <v>28</v>
      </c>
      <c r="I12" s="5" t="s">
        <v>38</v>
      </c>
      <c r="J12" s="4"/>
    </row>
    <row r="13" customFormat="false" ht="25.35" hidden="false" customHeight="false" outlineLevel="0" collapsed="false">
      <c r="A13" s="4" t="s">
        <v>75</v>
      </c>
      <c r="B13" s="4" t="s">
        <v>76</v>
      </c>
      <c r="C13" s="5" t="s">
        <v>77</v>
      </c>
      <c r="D13" s="4" t="s">
        <v>39</v>
      </c>
      <c r="E13" s="4" t="s">
        <v>78</v>
      </c>
      <c r="F13" s="4" t="s">
        <v>79</v>
      </c>
      <c r="G13" s="4" t="s">
        <v>80</v>
      </c>
      <c r="H13" s="4" t="s">
        <v>28</v>
      </c>
      <c r="I13" s="5" t="s">
        <v>38</v>
      </c>
      <c r="J13" s="4" t="s">
        <v>81</v>
      </c>
    </row>
    <row r="14" customFormat="false" ht="15" hidden="false" customHeight="false" outlineLevel="0" collapsed="false">
      <c r="A14" s="4" t="s">
        <v>82</v>
      </c>
      <c r="B14" s="4" t="s">
        <v>83</v>
      </c>
      <c r="C14" s="5" t="s">
        <v>84</v>
      </c>
      <c r="D14" s="4" t="s">
        <v>15</v>
      </c>
      <c r="E14" s="4" t="s">
        <v>85</v>
      </c>
      <c r="F14" s="4" t="s">
        <v>86</v>
      </c>
      <c r="G14" s="4" t="s">
        <v>87</v>
      </c>
      <c r="H14" s="4" t="s">
        <v>88</v>
      </c>
      <c r="I14" s="5" t="s">
        <v>24</v>
      </c>
      <c r="J14" s="4"/>
    </row>
    <row r="15" customFormat="false" ht="25.35" hidden="false" customHeight="false" outlineLevel="0" collapsed="false">
      <c r="A15" s="4" t="s">
        <v>89</v>
      </c>
      <c r="B15" s="4" t="s">
        <v>90</v>
      </c>
      <c r="C15" s="5" t="s">
        <v>84</v>
      </c>
      <c r="D15" s="4" t="s">
        <v>15</v>
      </c>
      <c r="E15" s="4" t="s">
        <v>91</v>
      </c>
      <c r="F15" s="4" t="s">
        <v>84</v>
      </c>
      <c r="G15" s="4" t="s">
        <v>92</v>
      </c>
      <c r="H15" s="4" t="s">
        <v>19</v>
      </c>
      <c r="I15" s="5" t="s">
        <v>20</v>
      </c>
      <c r="J15" s="4" t="s">
        <v>93</v>
      </c>
    </row>
    <row r="16" customFormat="false" ht="15" hidden="false" customHeight="false" outlineLevel="0" collapsed="false">
      <c r="A16" s="4" t="s">
        <v>94</v>
      </c>
      <c r="B16" s="4" t="s">
        <v>95</v>
      </c>
      <c r="C16" s="5" t="s">
        <v>84</v>
      </c>
      <c r="D16" s="4" t="s">
        <v>39</v>
      </c>
      <c r="E16" s="4" t="s">
        <v>96</v>
      </c>
      <c r="F16" s="4" t="s">
        <v>84</v>
      </c>
      <c r="G16" s="4" t="s">
        <v>97</v>
      </c>
      <c r="H16" s="4" t="s">
        <v>19</v>
      </c>
      <c r="I16" s="5" t="s">
        <v>98</v>
      </c>
      <c r="J16" s="4" t="s">
        <v>99</v>
      </c>
    </row>
    <row r="17" customFormat="false" ht="25.35" hidden="false" customHeight="false" outlineLevel="0" collapsed="false">
      <c r="A17" s="4" t="s">
        <v>100</v>
      </c>
      <c r="B17" s="4" t="s">
        <v>101</v>
      </c>
      <c r="C17" s="5" t="s">
        <v>84</v>
      </c>
      <c r="D17" s="4" t="s">
        <v>39</v>
      </c>
      <c r="E17" s="4" t="s">
        <v>102</v>
      </c>
      <c r="F17" s="4" t="s">
        <v>84</v>
      </c>
      <c r="G17" s="4" t="s">
        <v>103</v>
      </c>
      <c r="H17" s="4" t="s">
        <v>19</v>
      </c>
      <c r="I17" s="5" t="s">
        <v>24</v>
      </c>
      <c r="J17" s="4" t="s">
        <v>29</v>
      </c>
    </row>
    <row r="18" customFormat="false" ht="25.35" hidden="false" customHeight="false" outlineLevel="0" collapsed="false">
      <c r="A18" s="4" t="s">
        <v>104</v>
      </c>
      <c r="B18" s="4" t="s">
        <v>105</v>
      </c>
      <c r="C18" s="5" t="s">
        <v>84</v>
      </c>
      <c r="D18" s="4" t="s">
        <v>15</v>
      </c>
      <c r="E18" s="4" t="s">
        <v>106</v>
      </c>
      <c r="F18" s="4" t="s">
        <v>84</v>
      </c>
      <c r="G18" s="4" t="s">
        <v>107</v>
      </c>
      <c r="H18" s="4" t="s">
        <v>19</v>
      </c>
      <c r="I18" s="5" t="s">
        <v>98</v>
      </c>
      <c r="J18" s="4" t="s">
        <v>108</v>
      </c>
    </row>
    <row r="19" customFormat="false" ht="25.35" hidden="false" customHeight="false" outlineLevel="0" collapsed="false">
      <c r="A19" s="4" t="s">
        <v>109</v>
      </c>
      <c r="B19" s="4" t="s">
        <v>110</v>
      </c>
      <c r="C19" s="5" t="s">
        <v>84</v>
      </c>
      <c r="D19" s="4" t="s">
        <v>15</v>
      </c>
      <c r="E19" s="4" t="s">
        <v>111</v>
      </c>
      <c r="F19" s="4" t="s">
        <v>84</v>
      </c>
      <c r="G19" s="4" t="s">
        <v>112</v>
      </c>
      <c r="H19" s="4" t="s">
        <v>19</v>
      </c>
      <c r="I19" s="5" t="s">
        <v>98</v>
      </c>
      <c r="J19" s="4" t="s">
        <v>29</v>
      </c>
    </row>
    <row r="20" customFormat="false" ht="15" hidden="false" customHeight="false" outlineLevel="0" collapsed="false">
      <c r="A20" s="4" t="s">
        <v>113</v>
      </c>
      <c r="B20" s="4" t="s">
        <v>114</v>
      </c>
      <c r="C20" s="5" t="s">
        <v>84</v>
      </c>
      <c r="D20" s="4" t="s">
        <v>39</v>
      </c>
      <c r="E20" s="4" t="s">
        <v>115</v>
      </c>
      <c r="F20" s="4" t="s">
        <v>84</v>
      </c>
      <c r="G20" s="4" t="s">
        <v>116</v>
      </c>
      <c r="H20" s="4" t="s">
        <v>19</v>
      </c>
      <c r="I20" s="5" t="s">
        <v>98</v>
      </c>
      <c r="J20" s="4" t="s">
        <v>29</v>
      </c>
    </row>
  </sheetData>
  <dataValidations count="1">
    <dataValidation allowBlank="false" errorStyle="stop" operator="between" showDropDown="false" showErrorMessage="false" showInputMessage="false" sqref="H4:H20" type="list">
      <formula1>"Not started,Stub,In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2"/>
    <col collapsed="false" customWidth="true" hidden="false" outlineLevel="0" max="4" min="4" style="0" width="10"/>
  </cols>
  <sheetData>
    <row r="1" customFormat="false" ht="17.35" hidden="false" customHeight="false" outlineLevel="0" collapsed="false">
      <c r="A1" s="1" t="s">
        <v>117</v>
      </c>
    </row>
    <row r="2" customFormat="false" ht="15" hidden="false" customHeight="false" outlineLevel="0" collapsed="false">
      <c r="A2" s="2" t="s">
        <v>118</v>
      </c>
    </row>
    <row r="4" customFormat="false" ht="15" hidden="false" customHeight="false" outlineLevel="0" collapsed="false">
      <c r="A4" s="6" t="s">
        <v>9</v>
      </c>
      <c r="B4" s="6" t="s">
        <v>119</v>
      </c>
      <c r="C4" s="6" t="s">
        <v>120</v>
      </c>
    </row>
    <row r="5" customFormat="false" ht="15" hidden="false" customHeight="false" outlineLevel="0" collapsed="false">
      <c r="A5" s="7" t="s">
        <v>121</v>
      </c>
      <c r="B5" s="7" t="n">
        <f aca="false">COUNTIFS('Task Table'!$H$4:$H$20,A5,'Task Table'!$A$4:$A$20,"T*")</f>
        <v>0</v>
      </c>
      <c r="C5" s="7" t="n">
        <f aca="false">COUNTIF('Task Table'!$H$4:$H$20,A5)</f>
        <v>0</v>
      </c>
    </row>
    <row r="6" customFormat="false" ht="15" hidden="false" customHeight="false" outlineLevel="0" collapsed="false">
      <c r="A6" s="7" t="s">
        <v>28</v>
      </c>
      <c r="B6" s="7" t="n">
        <f aca="false">COUNTIFS('Task Table'!$H$4:$H$20,A6,'Task Table'!$A$4:$A$20,"T*")</f>
        <v>7</v>
      </c>
      <c r="C6" s="7" t="n">
        <f aca="false">COUNTIF('Task Table'!$H$4:$H$20,A6)</f>
        <v>7</v>
      </c>
    </row>
    <row r="7" customFormat="false" ht="15" hidden="false" customHeight="false" outlineLevel="0" collapsed="false">
      <c r="A7" s="7" t="s">
        <v>19</v>
      </c>
      <c r="B7" s="7" t="n">
        <f aca="false">COUNTIFS('Task Table'!$H$4:$H$20,A7,'Task Table'!$A$4:$A$20,"T*")</f>
        <v>3</v>
      </c>
      <c r="C7" s="7" t="n">
        <f aca="false">COUNTIF('Task Table'!$H$4:$H$20,A7)</f>
        <v>9</v>
      </c>
    </row>
    <row r="8" customFormat="false" ht="15" hidden="false" customHeight="false" outlineLevel="0" collapsed="false">
      <c r="A8" s="7" t="s">
        <v>88</v>
      </c>
      <c r="B8" s="7" t="n">
        <f aca="false">COUNTIFS('Task Table'!$H$4:$H$20,A8,'Task Table'!$A$4:$A$20,"T*")</f>
        <v>0</v>
      </c>
      <c r="C8" s="7" t="n">
        <f aca="false">COUNTIF('Task Table'!$H$4:$H$20,A8)</f>
        <v>1</v>
      </c>
    </row>
    <row r="9" customFormat="false" ht="15" hidden="false" customHeight="false" outlineLevel="0" collapsed="false">
      <c r="A9" s="6" t="s">
        <v>122</v>
      </c>
      <c r="B9" s="6" t="n">
        <f aca="false">SUM(B5:B8)</f>
        <v>10</v>
      </c>
      <c r="C9" s="6" t="n">
        <f aca="false">SUM(C5:C8)</f>
        <v>17</v>
      </c>
    </row>
    <row r="10" customFormat="false" ht="15" hidden="false" customHeight="false" outlineLevel="0" collapsed="false">
      <c r="A10" s="6" t="s">
        <v>123</v>
      </c>
      <c r="B10" s="8" t="n">
        <f aca="false">IF(B9=0,0,B8/B9)</f>
        <v>0</v>
      </c>
      <c r="C10" s="8" t="n">
        <f aca="false">IF(C9=0,0,C8/C9)</f>
        <v>0.0588235294117647</v>
      </c>
    </row>
    <row r="12" customFormat="false" ht="15" hidden="false" customHeight="false" outlineLevel="0" collapsed="false">
      <c r="A12" s="6" t="s">
        <v>5</v>
      </c>
      <c r="B12" s="6" t="s">
        <v>124</v>
      </c>
      <c r="C12" s="6" t="s">
        <v>88</v>
      </c>
      <c r="D12" s="6" t="s">
        <v>125</v>
      </c>
    </row>
    <row r="13" customFormat="false" ht="15" hidden="false" customHeight="false" outlineLevel="0" collapsed="false">
      <c r="A13" s="7" t="s">
        <v>15</v>
      </c>
      <c r="B13" s="7" t="n">
        <f aca="false">COUNTIF('Task Table'!$D$4:$D$20,A13)</f>
        <v>7</v>
      </c>
      <c r="C13" s="7" t="n">
        <f aca="false">COUNTIFS('Task Table'!$D$4:$D$20,A13,'Task Table'!$H$4:$H$20,"Done")</f>
        <v>1</v>
      </c>
      <c r="D13" s="7" t="n">
        <f aca="false">B13-C13</f>
        <v>6</v>
      </c>
    </row>
    <row r="14" customFormat="false" ht="15" hidden="false" customHeight="false" outlineLevel="0" collapsed="false">
      <c r="A14" s="7" t="s">
        <v>39</v>
      </c>
      <c r="B14" s="7" t="n">
        <f aca="false">COUNTIF('Task Table'!$D$4:$D$20,A14)</f>
        <v>7</v>
      </c>
      <c r="C14" s="7" t="n">
        <f aca="false">COUNTIFS('Task Table'!$D$4:$D$20,A14,'Task Table'!$H$4:$H$20,"Done")</f>
        <v>0</v>
      </c>
      <c r="D14" s="7" t="n">
        <f aca="false">B14-C14</f>
        <v>7</v>
      </c>
    </row>
    <row r="15" customFormat="false" ht="15" hidden="false" customHeight="false" outlineLevel="0" collapsed="false">
      <c r="A15" s="7" t="s">
        <v>47</v>
      </c>
      <c r="B15" s="7" t="n">
        <f aca="false">COUNTIF('Task Table'!$D$4:$D$20,A15)</f>
        <v>3</v>
      </c>
      <c r="C15" s="7" t="n">
        <f aca="false">COUNTIFS('Task Table'!$D$4:$D$20,A15,'Task Table'!$H$4:$H$20,"Done")</f>
        <v>0</v>
      </c>
      <c r="D15" s="7" t="n">
        <f aca="false">B15-C15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2"/>
    <col collapsed="false" customWidth="true" hidden="false" outlineLevel="0" max="4" min="4" style="0" width="7"/>
    <col collapsed="false" customWidth="true" hidden="false" outlineLevel="0" max="5" min="5" style="0" width="48"/>
    <col collapsed="false" customWidth="true" hidden="false" outlineLevel="0" max="6" min="6" style="0" width="40"/>
    <col collapsed="false" customWidth="true" hidden="false" outlineLevel="0" max="7" min="7" style="0" width="13"/>
    <col collapsed="false" customWidth="true" hidden="false" outlineLevel="0" max="8" min="8" style="0" width="44"/>
  </cols>
  <sheetData>
    <row r="1" customFormat="false" ht="17.35" hidden="false" customHeight="false" outlineLevel="0" collapsed="false">
      <c r="A1" s="1" t="s">
        <v>126</v>
      </c>
    </row>
    <row r="3" customFormat="false" ht="15" hidden="false" customHeight="false" outlineLevel="0" collapsed="false">
      <c r="A3" s="3" t="s">
        <v>127</v>
      </c>
      <c r="B3" s="3" t="s">
        <v>128</v>
      </c>
      <c r="C3" s="3" t="s">
        <v>129</v>
      </c>
      <c r="D3" s="3" t="s">
        <v>130</v>
      </c>
      <c r="E3" s="3" t="s">
        <v>131</v>
      </c>
      <c r="F3" s="3" t="s">
        <v>5</v>
      </c>
      <c r="G3" s="3" t="s">
        <v>9</v>
      </c>
      <c r="H3" s="3" t="s">
        <v>132</v>
      </c>
    </row>
    <row r="4" customFormat="false" ht="15" hidden="false" customHeight="false" outlineLevel="0" collapsed="false">
      <c r="A4" s="4" t="s">
        <v>133</v>
      </c>
      <c r="B4" s="9" t="n">
        <v>46301</v>
      </c>
      <c r="C4" s="9" t="n">
        <v>46308</v>
      </c>
      <c r="D4" s="5" t="n">
        <f aca="false">C4-B4+1</f>
        <v>8</v>
      </c>
      <c r="E4" s="4" t="s">
        <v>134</v>
      </c>
      <c r="F4" s="4" t="s">
        <v>98</v>
      </c>
      <c r="G4" s="4" t="s">
        <v>88</v>
      </c>
      <c r="H4" s="4" t="s">
        <v>135</v>
      </c>
    </row>
    <row r="5" customFormat="false" ht="49.25" hidden="false" customHeight="false" outlineLevel="0" collapsed="false">
      <c r="A5" s="4" t="s">
        <v>136</v>
      </c>
      <c r="B5" s="9" t="n">
        <v>46309</v>
      </c>
      <c r="C5" s="9" t="n">
        <v>46332</v>
      </c>
      <c r="D5" s="5" t="n">
        <f aca="false">C5-B5+1</f>
        <v>24</v>
      </c>
      <c r="E5" s="4" t="s">
        <v>137</v>
      </c>
      <c r="F5" s="4" t="s">
        <v>138</v>
      </c>
      <c r="G5" s="4" t="s">
        <v>19</v>
      </c>
      <c r="H5" s="4" t="s">
        <v>139</v>
      </c>
    </row>
    <row r="6" customFormat="false" ht="25.35" hidden="false" customHeight="false" outlineLevel="0" collapsed="false">
      <c r="A6" s="4" t="s">
        <v>140</v>
      </c>
      <c r="B6" s="9" t="n">
        <v>46333</v>
      </c>
      <c r="C6" s="9" t="n">
        <v>46346</v>
      </c>
      <c r="D6" s="5" t="n">
        <f aca="false">C6-B6+1</f>
        <v>14</v>
      </c>
      <c r="E6" s="4" t="s">
        <v>141</v>
      </c>
      <c r="F6" s="4" t="s">
        <v>47</v>
      </c>
      <c r="G6" s="4" t="s">
        <v>121</v>
      </c>
      <c r="H6" s="4" t="s">
        <v>142</v>
      </c>
    </row>
    <row r="7" customFormat="false" ht="15" hidden="false" customHeight="false" outlineLevel="0" collapsed="false">
      <c r="A7" s="4" t="s">
        <v>143</v>
      </c>
      <c r="B7" s="9" t="n">
        <v>46347</v>
      </c>
      <c r="C7" s="9" t="n">
        <v>46355</v>
      </c>
      <c r="D7" s="5" t="n">
        <f aca="false">C7-B7+1</f>
        <v>9</v>
      </c>
      <c r="E7" s="4" t="s">
        <v>144</v>
      </c>
      <c r="F7" s="4" t="s">
        <v>47</v>
      </c>
      <c r="G7" s="4" t="s">
        <v>121</v>
      </c>
      <c r="H7" s="4" t="s">
        <v>145</v>
      </c>
    </row>
    <row r="8" customFormat="false" ht="25.35" hidden="false" customHeight="false" outlineLevel="0" collapsed="false">
      <c r="A8" s="4" t="s">
        <v>146</v>
      </c>
      <c r="B8" s="9" t="n">
        <v>46356</v>
      </c>
      <c r="C8" s="9" t="n">
        <v>46364</v>
      </c>
      <c r="D8" s="5" t="n">
        <f aca="false">C8-B8+1</f>
        <v>9</v>
      </c>
      <c r="E8" s="4" t="s">
        <v>147</v>
      </c>
      <c r="F8" s="4" t="s">
        <v>47</v>
      </c>
      <c r="G8" s="4" t="s">
        <v>121</v>
      </c>
      <c r="H8" s="4" t="s">
        <v>145</v>
      </c>
    </row>
    <row r="9" customFormat="false" ht="15" hidden="false" customHeight="false" outlineLevel="0" collapsed="false">
      <c r="A9" s="4" t="s">
        <v>148</v>
      </c>
      <c r="B9" s="9" t="n">
        <v>46364</v>
      </c>
      <c r="C9" s="9" t="n">
        <v>46364</v>
      </c>
      <c r="D9" s="5" t="n">
        <f aca="false">C9-B9+1</f>
        <v>1</v>
      </c>
      <c r="E9" s="4" t="s">
        <v>149</v>
      </c>
      <c r="F9" s="4" t="s">
        <v>47</v>
      </c>
      <c r="G9" s="4" t="s">
        <v>121</v>
      </c>
      <c r="H9" s="4"/>
    </row>
  </sheetData>
  <dataValidations count="1">
    <dataValidation allowBlank="false" errorStyle="stop" operator="between" showDropDown="false" showErrorMessage="false" showInputMessage="false" sqref="G4:G9" type="list">
      <formula1>"Not started,Stub,In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26"/>
    <col collapsed="false" customWidth="true" hidden="false" outlineLevel="0" max="4" min="4" style="0" width="70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150</v>
      </c>
    </row>
    <row r="3" customFormat="false" ht="15" hidden="false" customHeight="false" outlineLevel="0" collapsed="false">
      <c r="A3" s="3" t="s">
        <v>151</v>
      </c>
      <c r="B3" s="3" t="s">
        <v>152</v>
      </c>
      <c r="C3" s="3" t="s">
        <v>153</v>
      </c>
      <c r="D3" s="3" t="s">
        <v>154</v>
      </c>
      <c r="E3" s="3" t="s">
        <v>155</v>
      </c>
    </row>
    <row r="4" customFormat="false" ht="37.3" hidden="false" customHeight="false" outlineLevel="0" collapsed="false">
      <c r="A4" s="5" t="s">
        <v>14</v>
      </c>
      <c r="B4" s="4" t="s">
        <v>15</v>
      </c>
      <c r="C4" s="4" t="s">
        <v>156</v>
      </c>
      <c r="D4" s="4" t="s">
        <v>157</v>
      </c>
      <c r="E4" s="4" t="s">
        <v>158</v>
      </c>
    </row>
    <row r="5" customFormat="false" ht="37.3" hidden="false" customHeight="false" outlineLevel="0" collapsed="false">
      <c r="A5" s="5" t="s">
        <v>14</v>
      </c>
      <c r="B5" s="4" t="s">
        <v>39</v>
      </c>
      <c r="C5" s="4" t="s">
        <v>159</v>
      </c>
      <c r="D5" s="4" t="s">
        <v>160</v>
      </c>
      <c r="E5" s="4" t="s">
        <v>161</v>
      </c>
    </row>
    <row r="6" customFormat="false" ht="37.3" hidden="false" customHeight="false" outlineLevel="0" collapsed="false">
      <c r="A6" s="5" t="s">
        <v>24</v>
      </c>
      <c r="B6" s="4" t="s">
        <v>15</v>
      </c>
      <c r="C6" s="4" t="s">
        <v>156</v>
      </c>
      <c r="D6" s="4" t="s">
        <v>162</v>
      </c>
      <c r="E6" s="4" t="s">
        <v>163</v>
      </c>
    </row>
    <row r="7" customFormat="false" ht="49.25" hidden="false" customHeight="false" outlineLevel="0" collapsed="false">
      <c r="A7" s="5" t="s">
        <v>24</v>
      </c>
      <c r="B7" s="4" t="s">
        <v>39</v>
      </c>
      <c r="C7" s="4" t="s">
        <v>164</v>
      </c>
      <c r="D7" s="4" t="s">
        <v>165</v>
      </c>
      <c r="E7" s="4" t="s">
        <v>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2026-10-30T20:57:52Z</dcterms:created>
  <dc:creator>openpyxl</dc:creator>
  <dc:description/>
  <dc:language>en-US</dc:language>
  <cp:lastModifiedBy/>
  <dcterms:modified xsi:type="dcterms:W3CDTF">2026-10-30T20:57:52Z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